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aousuarios" sheetId="1" r:id="rId4"/>
    <sheet state="visible" name="Analiseinvestimento" sheetId="2" r:id="rId5"/>
  </sheets>
  <definedNames/>
  <calcPr/>
  <extLst>
    <ext uri="GoogleSheetsCustomDataVersion1">
      <go:sheetsCustomData xmlns:go="http://customooxmlschemas.google.com/" r:id="rId6" roundtripDataSignature="AMtx7mgVyRo6JCgM5tmn5L3G68l0ulXDOA=="/>
    </ext>
  </extLst>
</workbook>
</file>

<file path=xl/sharedStrings.xml><?xml version="1.0" encoding="utf-8"?>
<sst xmlns="http://schemas.openxmlformats.org/spreadsheetml/2006/main" count="29" uniqueCount="27">
  <si>
    <t>Mercado Potencial</t>
  </si>
  <si>
    <t>% Progressão</t>
  </si>
  <si>
    <t>Conversão</t>
  </si>
  <si>
    <t>Preço</t>
  </si>
  <si>
    <t>Mês</t>
  </si>
  <si>
    <t>% Atração</t>
  </si>
  <si>
    <t>Usuarios</t>
  </si>
  <si>
    <t>Assinantes</t>
  </si>
  <si>
    <t>Receita</t>
  </si>
  <si>
    <t>TMA (a.m)</t>
  </si>
  <si>
    <t>TMA (a.a)</t>
  </si>
  <si>
    <t>Indicadores de Viabilidade Econômica (TMA 0,8% mês ou 9,6% ano)</t>
  </si>
  <si>
    <t>Despesa</t>
  </si>
  <si>
    <t>Fluxo de caixa</t>
  </si>
  <si>
    <t>FC a valor presente</t>
  </si>
  <si>
    <t>Valor a recuperar</t>
  </si>
  <si>
    <t xml:space="preserve">Ponto de Equilíbrio: </t>
  </si>
  <si>
    <t>terceiro mês</t>
  </si>
  <si>
    <t xml:space="preserve">Payback descontado: </t>
  </si>
  <si>
    <t>oitavo mês</t>
  </si>
  <si>
    <t xml:space="preserve">Valor Presente Líquido: </t>
  </si>
  <si>
    <t>R$ 46.257,46</t>
  </si>
  <si>
    <t xml:space="preserve">Taxa Interna de Retorno: </t>
  </si>
  <si>
    <t>P.Equilibrio</t>
  </si>
  <si>
    <t>PAYBACK</t>
  </si>
  <si>
    <t>VPL</t>
  </si>
  <si>
    <t>TIR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</si>
</sst>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_ "/>
    <numFmt numFmtId="165" formatCode="&quot;[$&quot;#,##0.00_);[Red]\(&quot;[$&quot;#,##0.00\)"/>
    <numFmt numFmtId="166" formatCode="0.0%"/>
    <numFmt numFmtId="167" formatCode="&quot;R$&quot;\ #,##0.00_);[Red]\(&quot;R$&quot;\ #,##0.00\)"/>
    <numFmt numFmtId="168" formatCode="&quot;[$&quot;#,##0.00;[Red]\-&quot;[$&quot;#,##0.00"/>
  </numFmts>
  <fonts count="6">
    <font>
      <sz val="11.0"/>
      <color theme="1"/>
      <name val="Arial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</font>
    <font/>
    <font>
      <color rgb="FF000000"/>
      <name val="Roboto"/>
    </font>
  </fonts>
  <fills count="1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8"/>
        <bgColor theme="8"/>
      </patternFill>
    </fill>
    <fill>
      <patternFill patternType="solid">
        <fgColor rgb="FFFBE5D5"/>
        <bgColor rgb="FFFBE5D5"/>
      </patternFill>
    </fill>
    <fill>
      <patternFill patternType="solid">
        <fgColor rgb="FFEDEDED"/>
        <bgColor rgb="FFEDEDED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</fills>
  <borders count="10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2" fillId="0" fontId="2" numFmtId="10" xfId="0" applyAlignment="1" applyBorder="1" applyFont="1" applyNumberFormat="1">
      <alignment vertical="center"/>
    </xf>
    <xf borderId="5" fillId="0" fontId="2" numFmtId="9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3" fontId="1" numFmtId="0" xfId="0" applyAlignment="1" applyBorder="1" applyFill="1" applyFont="1">
      <alignment vertical="center"/>
    </xf>
    <xf borderId="2" fillId="4" fontId="1" numFmtId="0" xfId="0" applyAlignment="1" applyBorder="1" applyFill="1" applyFont="1">
      <alignment vertical="center"/>
    </xf>
    <xf borderId="2" fillId="5" fontId="1" numFmtId="0" xfId="0" applyAlignment="1" applyBorder="1" applyFill="1" applyFont="1">
      <alignment vertical="center"/>
    </xf>
    <xf borderId="2" fillId="6" fontId="2" numFmtId="10" xfId="0" applyAlignment="1" applyBorder="1" applyFill="1" applyFont="1" applyNumberFormat="1">
      <alignment vertical="center"/>
    </xf>
    <xf borderId="2" fillId="7" fontId="2" numFmtId="164" xfId="0" applyAlignment="1" applyBorder="1" applyFill="1" applyFont="1" applyNumberFormat="1">
      <alignment vertical="center"/>
    </xf>
    <xf borderId="2" fillId="8" fontId="2" numFmtId="164" xfId="0" applyAlignment="1" applyBorder="1" applyFill="1" applyFont="1" applyNumberFormat="1">
      <alignment vertical="center"/>
    </xf>
    <xf borderId="2" fillId="9" fontId="2" numFmtId="165" xfId="0" applyAlignment="1" applyBorder="1" applyFill="1" applyFont="1" applyNumberFormat="1">
      <alignment vertical="center"/>
    </xf>
    <xf borderId="0" fillId="0" fontId="2" numFmtId="10" xfId="0" applyAlignment="1" applyFont="1" applyNumberFormat="1">
      <alignment vertical="center"/>
    </xf>
    <xf borderId="6" fillId="10" fontId="2" numFmtId="0" xfId="0" applyAlignment="1" applyBorder="1" applyFill="1" applyFont="1">
      <alignment vertical="center"/>
    </xf>
    <xf borderId="6" fillId="10" fontId="2" numFmtId="166" xfId="0" applyAlignment="1" applyBorder="1" applyFont="1" applyNumberFormat="1">
      <alignment vertical="center"/>
    </xf>
    <xf borderId="4" fillId="0" fontId="3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" fillId="0" fontId="3" numFmtId="0" xfId="0" applyAlignment="1" applyBorder="1" applyFont="1">
      <alignment readingOrder="0" vertical="center"/>
    </xf>
    <xf borderId="2" fillId="0" fontId="3" numFmtId="0" xfId="0" applyAlignment="1" applyBorder="1" applyFont="1">
      <alignment vertical="center"/>
    </xf>
    <xf borderId="8" fillId="11" fontId="5" numFmtId="0" xfId="0" applyAlignment="1" applyBorder="1" applyFill="1" applyFont="1">
      <alignment readingOrder="0"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2" fillId="0" fontId="2" numFmtId="167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0" fillId="11" fontId="5" numFmtId="0" xfId="0" applyAlignment="1" applyFont="1">
      <alignment readingOrder="0" vertical="center"/>
    </xf>
    <xf borderId="7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4" fillId="0" fontId="3" numFmtId="0" xfId="0" applyAlignment="1" applyBorder="1" applyFont="1">
      <alignment readingOrder="0" vertical="center"/>
    </xf>
    <xf borderId="8" fillId="11" fontId="5" numFmtId="9" xfId="0" applyAlignment="1" applyBorder="1" applyFont="1" applyNumberFormat="1">
      <alignment horizontal="left" readingOrder="0" vertical="center"/>
    </xf>
    <xf borderId="6" fillId="12" fontId="2" numFmtId="0" xfId="0" applyAlignment="1" applyBorder="1" applyFill="1" applyFont="1">
      <alignment vertical="center"/>
    </xf>
    <xf borderId="2" fillId="12" fontId="2" numFmtId="0" xfId="0" applyAlignment="1" applyBorder="1" applyFont="1">
      <alignment vertical="center"/>
    </xf>
    <xf borderId="2" fillId="12" fontId="2" numFmtId="167" xfId="0" applyAlignment="1" applyBorder="1" applyFont="1" applyNumberFormat="1">
      <alignment vertical="center"/>
    </xf>
    <xf borderId="6" fillId="13" fontId="2" numFmtId="0" xfId="0" applyAlignment="1" applyBorder="1" applyFill="1" applyFont="1">
      <alignment vertical="center"/>
    </xf>
    <xf borderId="2" fillId="13" fontId="2" numFmtId="0" xfId="0" applyAlignment="1" applyBorder="1" applyFont="1">
      <alignment vertical="center"/>
    </xf>
    <xf borderId="2" fillId="13" fontId="2" numFmtId="167" xfId="0" applyAlignment="1" applyBorder="1" applyFont="1" applyNumberFormat="1">
      <alignment vertical="center"/>
    </xf>
    <xf borderId="6" fillId="10" fontId="2" numFmtId="168" xfId="0" applyAlignment="1" applyBorder="1" applyFont="1" applyNumberFormat="1">
      <alignment vertical="center"/>
    </xf>
    <xf borderId="6" fillId="10" fontId="2" numFmtId="9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63"/>
    <col customWidth="1" min="2" max="2" width="10.25"/>
    <col customWidth="1" min="3" max="3" width="9.25"/>
    <col customWidth="1" min="4" max="6" width="7.75"/>
    <col customWidth="1" min="7" max="7" width="8.63"/>
    <col customWidth="1" min="8" max="8" width="7.75"/>
    <col customWidth="1" min="9" max="10" width="10.13"/>
    <col customWidth="1" min="11" max="26" width="7.75"/>
  </cols>
  <sheetData>
    <row r="1">
      <c r="A1" s="1" t="s">
        <v>0</v>
      </c>
      <c r="B1" s="2" t="s">
        <v>1</v>
      </c>
      <c r="C1" s="3" t="s">
        <v>2</v>
      </c>
      <c r="D1" s="2" t="s">
        <v>3</v>
      </c>
    </row>
    <row r="2">
      <c r="A2" s="4">
        <v>785000.0</v>
      </c>
      <c r="B2" s="5">
        <v>0.00333333333</v>
      </c>
      <c r="C2" s="6">
        <v>0.1</v>
      </c>
      <c r="D2" s="7">
        <v>14.9</v>
      </c>
    </row>
    <row r="3">
      <c r="B3" s="5">
        <v>0.00122</v>
      </c>
      <c r="F3" s="7" t="s">
        <v>4</v>
      </c>
      <c r="G3" s="8" t="s">
        <v>5</v>
      </c>
      <c r="H3" s="9" t="s">
        <v>6</v>
      </c>
      <c r="I3" s="10" t="s">
        <v>7</v>
      </c>
      <c r="J3" s="2" t="s">
        <v>8</v>
      </c>
    </row>
    <row r="4">
      <c r="F4" s="7">
        <v>1.0</v>
      </c>
      <c r="G4" s="11">
        <v>0.0033</v>
      </c>
      <c r="H4" s="12">
        <f t="shared" ref="H4:H15" si="1">$A$2*G4</f>
        <v>2590.5</v>
      </c>
      <c r="I4" s="13">
        <f t="shared" ref="I4:I15" si="2">H4*$C$2</f>
        <v>259.05</v>
      </c>
      <c r="J4" s="14">
        <f t="shared" ref="J4:J15" si="3">I4*$D$2</f>
        <v>3859.845</v>
      </c>
    </row>
    <row r="5">
      <c r="F5" s="7">
        <v>2.0</v>
      </c>
      <c r="G5" s="11">
        <f t="shared" ref="G5:G6" si="4">G4+$B$2</f>
        <v>0.00663333333</v>
      </c>
      <c r="H5" s="12">
        <f t="shared" si="1"/>
        <v>5207.166664</v>
      </c>
      <c r="I5" s="13">
        <f t="shared" si="2"/>
        <v>520.7166664</v>
      </c>
      <c r="J5" s="14">
        <f t="shared" si="3"/>
        <v>7758.678329</v>
      </c>
    </row>
    <row r="6">
      <c r="F6" s="7">
        <v>3.0</v>
      </c>
      <c r="G6" s="11">
        <f t="shared" si="4"/>
        <v>0.00996666666</v>
      </c>
      <c r="H6" s="12">
        <f t="shared" si="1"/>
        <v>7823.833328</v>
      </c>
      <c r="I6" s="13">
        <f t="shared" si="2"/>
        <v>782.3833328</v>
      </c>
      <c r="J6" s="14">
        <f t="shared" si="3"/>
        <v>11657.51166</v>
      </c>
    </row>
    <row r="7">
      <c r="F7" s="7">
        <v>4.0</v>
      </c>
      <c r="G7" s="11">
        <f t="shared" ref="G7:G15" si="5">G6+$B$3</f>
        <v>0.01118666666</v>
      </c>
      <c r="H7" s="12">
        <f t="shared" si="1"/>
        <v>8781.533328</v>
      </c>
      <c r="I7" s="13">
        <f t="shared" si="2"/>
        <v>878.1533328</v>
      </c>
      <c r="J7" s="14">
        <f t="shared" si="3"/>
        <v>13084.48466</v>
      </c>
    </row>
    <row r="8">
      <c r="F8" s="7">
        <v>5.0</v>
      </c>
      <c r="G8" s="11">
        <f t="shared" si="5"/>
        <v>0.01240666666</v>
      </c>
      <c r="H8" s="12">
        <f t="shared" si="1"/>
        <v>9739.233328</v>
      </c>
      <c r="I8" s="13">
        <f t="shared" si="2"/>
        <v>973.9233328</v>
      </c>
      <c r="J8" s="14">
        <f t="shared" si="3"/>
        <v>14511.45766</v>
      </c>
    </row>
    <row r="9">
      <c r="F9" s="7">
        <v>6.0</v>
      </c>
      <c r="G9" s="11">
        <f t="shared" si="5"/>
        <v>0.01362666666</v>
      </c>
      <c r="H9" s="12">
        <f t="shared" si="1"/>
        <v>10696.93333</v>
      </c>
      <c r="I9" s="13">
        <f t="shared" si="2"/>
        <v>1069.693333</v>
      </c>
      <c r="J9" s="14">
        <f t="shared" si="3"/>
        <v>15938.43066</v>
      </c>
    </row>
    <row r="10">
      <c r="F10" s="7">
        <v>7.0</v>
      </c>
      <c r="G10" s="11">
        <f t="shared" si="5"/>
        <v>0.01484666666</v>
      </c>
      <c r="H10" s="12">
        <f t="shared" si="1"/>
        <v>11654.63333</v>
      </c>
      <c r="I10" s="13">
        <f t="shared" si="2"/>
        <v>1165.463333</v>
      </c>
      <c r="J10" s="14">
        <f t="shared" si="3"/>
        <v>17365.40366</v>
      </c>
    </row>
    <row r="11">
      <c r="F11" s="7">
        <v>8.0</v>
      </c>
      <c r="G11" s="11">
        <f t="shared" si="5"/>
        <v>0.01606666666</v>
      </c>
      <c r="H11" s="12">
        <f t="shared" si="1"/>
        <v>12612.33333</v>
      </c>
      <c r="I11" s="13">
        <f t="shared" si="2"/>
        <v>1261.233333</v>
      </c>
      <c r="J11" s="14">
        <f t="shared" si="3"/>
        <v>18792.37666</v>
      </c>
    </row>
    <row r="12">
      <c r="F12" s="7">
        <v>9.0</v>
      </c>
      <c r="G12" s="11">
        <f t="shared" si="5"/>
        <v>0.01728666666</v>
      </c>
      <c r="H12" s="12">
        <f t="shared" si="1"/>
        <v>13570.03333</v>
      </c>
      <c r="I12" s="13">
        <f t="shared" si="2"/>
        <v>1357.003333</v>
      </c>
      <c r="J12" s="14">
        <f t="shared" si="3"/>
        <v>20219.34966</v>
      </c>
    </row>
    <row r="13">
      <c r="F13" s="7">
        <v>10.0</v>
      </c>
      <c r="G13" s="11">
        <f t="shared" si="5"/>
        <v>0.01850666666</v>
      </c>
      <c r="H13" s="12">
        <f t="shared" si="1"/>
        <v>14527.73333</v>
      </c>
      <c r="I13" s="13">
        <f t="shared" si="2"/>
        <v>1452.773333</v>
      </c>
      <c r="J13" s="14">
        <f t="shared" si="3"/>
        <v>21646.32266</v>
      </c>
    </row>
    <row r="14">
      <c r="F14" s="7">
        <v>11.0</v>
      </c>
      <c r="G14" s="11">
        <f t="shared" si="5"/>
        <v>0.01972666666</v>
      </c>
      <c r="H14" s="12">
        <f t="shared" si="1"/>
        <v>15485.43333</v>
      </c>
      <c r="I14" s="13">
        <f t="shared" si="2"/>
        <v>1548.543333</v>
      </c>
      <c r="J14" s="14">
        <f t="shared" si="3"/>
        <v>23073.29566</v>
      </c>
    </row>
    <row r="15">
      <c r="F15" s="7">
        <v>12.0</v>
      </c>
      <c r="G15" s="11">
        <f t="shared" si="5"/>
        <v>0.02094666666</v>
      </c>
      <c r="H15" s="12">
        <f t="shared" si="1"/>
        <v>16443.13333</v>
      </c>
      <c r="I15" s="13">
        <f t="shared" si="2"/>
        <v>1644.313333</v>
      </c>
      <c r="J15" s="14">
        <f t="shared" si="3"/>
        <v>24500.26866</v>
      </c>
    </row>
    <row r="16">
      <c r="G16" s="1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5"/>
    <col customWidth="1" min="2" max="2" width="9.63"/>
    <col customWidth="1" min="3" max="3" width="11.38"/>
    <col customWidth="1" min="4" max="4" width="12.38"/>
    <col customWidth="1" min="5" max="5" width="11.38"/>
    <col customWidth="1" min="6" max="6" width="14.5"/>
    <col customWidth="1" min="7" max="7" width="15.25"/>
    <col customWidth="1" min="8" max="10" width="7.75"/>
    <col customWidth="1" min="11" max="11" width="16.25"/>
    <col customWidth="1" min="12" max="26" width="7.75"/>
  </cols>
  <sheetData>
    <row r="1">
      <c r="A1" s="16" t="s">
        <v>9</v>
      </c>
      <c r="B1" s="17">
        <v>0.008</v>
      </c>
    </row>
    <row r="2">
      <c r="A2" s="16" t="s">
        <v>10</v>
      </c>
      <c r="B2" s="17">
        <f>B1*12</f>
        <v>0.096</v>
      </c>
    </row>
    <row r="4">
      <c r="J4" s="18" t="s">
        <v>11</v>
      </c>
      <c r="K4" s="19"/>
      <c r="L4" s="19"/>
      <c r="M4" s="19"/>
      <c r="N4" s="19"/>
      <c r="O4" s="20"/>
    </row>
    <row r="5">
      <c r="B5" s="7" t="s">
        <v>4</v>
      </c>
      <c r="C5" s="7" t="s">
        <v>12</v>
      </c>
      <c r="D5" s="7" t="s">
        <v>8</v>
      </c>
      <c r="E5" s="7" t="s">
        <v>13</v>
      </c>
      <c r="F5" s="7" t="s">
        <v>14</v>
      </c>
      <c r="G5" s="7" t="s">
        <v>15</v>
      </c>
      <c r="J5" s="21" t="s">
        <v>16</v>
      </c>
      <c r="K5" s="22"/>
      <c r="L5" s="23" t="s">
        <v>17</v>
      </c>
      <c r="M5" s="24"/>
      <c r="N5" s="24"/>
      <c r="O5" s="25"/>
    </row>
    <row r="6">
      <c r="B6" s="7">
        <v>0.0</v>
      </c>
      <c r="C6" s="26">
        <v>14000.0</v>
      </c>
      <c r="D6" s="26">
        <v>0.0</v>
      </c>
      <c r="E6" s="26"/>
      <c r="F6" s="26"/>
      <c r="G6" s="27">
        <v>-14000.0</v>
      </c>
      <c r="J6" s="21" t="s">
        <v>18</v>
      </c>
      <c r="K6" s="22"/>
      <c r="L6" s="28" t="s">
        <v>19</v>
      </c>
      <c r="M6" s="29"/>
      <c r="N6" s="29"/>
      <c r="O6" s="30"/>
    </row>
    <row r="7">
      <c r="B7" s="7">
        <v>1.0</v>
      </c>
      <c r="C7" s="26">
        <v>10150.0</v>
      </c>
      <c r="D7" s="26">
        <f>Projecaousuarios!J4</f>
        <v>3859.845</v>
      </c>
      <c r="E7" s="26">
        <f t="shared" ref="E7:E18" si="1">D7-C7</f>
        <v>-6290.155</v>
      </c>
      <c r="F7" s="26">
        <f t="shared" ref="F7:F18" si="2">PV($B$1,B7,,-E7)</f>
        <v>-6240.233135</v>
      </c>
      <c r="G7" s="27">
        <f>F7+G6</f>
        <v>-20240.23313</v>
      </c>
      <c r="J7" s="21" t="s">
        <v>20</v>
      </c>
      <c r="K7" s="22"/>
      <c r="L7" s="31" t="s">
        <v>21</v>
      </c>
      <c r="M7" s="19"/>
      <c r="N7" s="19"/>
      <c r="O7" s="20"/>
    </row>
    <row r="8">
      <c r="B8" s="7">
        <v>2.0</v>
      </c>
      <c r="C8" s="26">
        <v>10150.0</v>
      </c>
      <c r="D8" s="26">
        <f>Projecaousuarios!J5</f>
        <v>7758.678329</v>
      </c>
      <c r="E8" s="26">
        <f t="shared" si="1"/>
        <v>-2391.321671</v>
      </c>
      <c r="F8" s="26">
        <f t="shared" si="2"/>
        <v>-2353.514809</v>
      </c>
      <c r="G8" s="27">
        <f t="shared" ref="G8:G13" si="3">G7+F8</f>
        <v>-22593.74794</v>
      </c>
      <c r="J8" s="21" t="s">
        <v>22</v>
      </c>
      <c r="K8" s="22"/>
      <c r="L8" s="32">
        <v>0.38</v>
      </c>
      <c r="M8" s="24"/>
      <c r="N8" s="24"/>
      <c r="O8" s="25"/>
    </row>
    <row r="9">
      <c r="A9" s="33" t="s">
        <v>23</v>
      </c>
      <c r="B9" s="34">
        <v>3.0</v>
      </c>
      <c r="C9" s="35">
        <v>10150.0</v>
      </c>
      <c r="D9" s="35">
        <f>Projecaousuarios!J6</f>
        <v>11657.51166</v>
      </c>
      <c r="E9" s="35">
        <f t="shared" si="1"/>
        <v>1507.511659</v>
      </c>
      <c r="F9" s="26">
        <f t="shared" si="2"/>
        <v>1471.902637</v>
      </c>
      <c r="G9" s="27">
        <f t="shared" si="3"/>
        <v>-21121.84531</v>
      </c>
    </row>
    <row r="10">
      <c r="B10" s="7">
        <v>4.0</v>
      </c>
      <c r="C10" s="26">
        <v>10150.0</v>
      </c>
      <c r="D10" s="26">
        <f>Projecaousuarios!J7</f>
        <v>13084.48466</v>
      </c>
      <c r="E10" s="26">
        <f t="shared" si="1"/>
        <v>2934.484659</v>
      </c>
      <c r="F10" s="26">
        <f t="shared" si="2"/>
        <v>2842.429586</v>
      </c>
      <c r="G10" s="27">
        <f t="shared" si="3"/>
        <v>-18279.41572</v>
      </c>
    </row>
    <row r="11">
      <c r="B11" s="7">
        <v>5.0</v>
      </c>
      <c r="C11" s="26">
        <v>10150.0</v>
      </c>
      <c r="D11" s="26">
        <f>Projecaousuarios!J8</f>
        <v>14511.45766</v>
      </c>
      <c r="E11" s="26">
        <f t="shared" si="1"/>
        <v>4361.457659</v>
      </c>
      <c r="F11" s="26">
        <f t="shared" si="2"/>
        <v>4191.109427</v>
      </c>
      <c r="G11" s="27">
        <f t="shared" si="3"/>
        <v>-14088.30629</v>
      </c>
    </row>
    <row r="12">
      <c r="B12" s="7">
        <v>6.0</v>
      </c>
      <c r="C12" s="26">
        <v>10150.0</v>
      </c>
      <c r="D12" s="26">
        <f>Projecaousuarios!J9</f>
        <v>15938.43066</v>
      </c>
      <c r="E12" s="26">
        <f t="shared" si="1"/>
        <v>5788.430659</v>
      </c>
      <c r="F12" s="26">
        <f t="shared" si="2"/>
        <v>5518.202612</v>
      </c>
      <c r="G12" s="27">
        <f t="shared" si="3"/>
        <v>-8570.103681</v>
      </c>
    </row>
    <row r="13">
      <c r="B13" s="7">
        <v>7.0</v>
      </c>
      <c r="C13" s="26">
        <v>10150.0</v>
      </c>
      <c r="D13" s="26">
        <f>Projecaousuarios!J10</f>
        <v>17365.40366</v>
      </c>
      <c r="E13" s="26">
        <f t="shared" si="1"/>
        <v>7215.403659</v>
      </c>
      <c r="F13" s="26">
        <f t="shared" si="2"/>
        <v>6823.966836</v>
      </c>
      <c r="G13" s="27">
        <f t="shared" si="3"/>
        <v>-1746.136845</v>
      </c>
    </row>
    <row r="14">
      <c r="A14" s="36" t="s">
        <v>24</v>
      </c>
      <c r="B14" s="37">
        <v>8.0</v>
      </c>
      <c r="C14" s="38">
        <v>10150.0</v>
      </c>
      <c r="D14" s="38">
        <f>Projecaousuarios!J11</f>
        <v>18792.37666</v>
      </c>
      <c r="E14" s="38">
        <f t="shared" si="1"/>
        <v>8642.376659</v>
      </c>
      <c r="F14" s="38">
        <f t="shared" si="2"/>
        <v>8108.657062</v>
      </c>
      <c r="G14" s="37"/>
    </row>
    <row r="15">
      <c r="B15" s="7">
        <v>9.0</v>
      </c>
      <c r="C15" s="26">
        <v>10150.0</v>
      </c>
      <c r="D15" s="26">
        <f>Projecaousuarios!J12</f>
        <v>20219.34966</v>
      </c>
      <c r="E15" s="26">
        <f t="shared" si="1"/>
        <v>10069.34966</v>
      </c>
      <c r="F15" s="26">
        <f t="shared" si="2"/>
        <v>9372.525551</v>
      </c>
      <c r="G15" s="27"/>
    </row>
    <row r="16">
      <c r="B16" s="7">
        <v>10.0</v>
      </c>
      <c r="C16" s="26">
        <v>10150.0</v>
      </c>
      <c r="D16" s="26">
        <f>Projecaousuarios!J13</f>
        <v>21646.32266</v>
      </c>
      <c r="E16" s="26">
        <f t="shared" si="1"/>
        <v>11496.32266</v>
      </c>
      <c r="F16" s="26">
        <f t="shared" si="2"/>
        <v>10615.82189</v>
      </c>
      <c r="G16" s="27"/>
    </row>
    <row r="17">
      <c r="B17" s="7">
        <v>11.0</v>
      </c>
      <c r="C17" s="26">
        <v>10150.0</v>
      </c>
      <c r="D17" s="26">
        <f>Projecaousuarios!J14</f>
        <v>23073.29566</v>
      </c>
      <c r="E17" s="26">
        <f t="shared" si="1"/>
        <v>12923.29566</v>
      </c>
      <c r="F17" s="26">
        <f t="shared" si="2"/>
        <v>11838.793</v>
      </c>
      <c r="G17" s="27"/>
    </row>
    <row r="18">
      <c r="B18" s="7">
        <v>12.0</v>
      </c>
      <c r="C18" s="26">
        <v>10150.0</v>
      </c>
      <c r="D18" s="26">
        <f>Projecaousuarios!J15</f>
        <v>24500.26866</v>
      </c>
      <c r="E18" s="26">
        <f t="shared" si="1"/>
        <v>14350.26866</v>
      </c>
      <c r="F18" s="26">
        <f t="shared" si="2"/>
        <v>13041.6832</v>
      </c>
      <c r="G18" s="27"/>
    </row>
    <row r="21" ht="15.75" customHeight="1">
      <c r="A21" s="16" t="s">
        <v>25</v>
      </c>
      <c r="B21" s="39">
        <f t="array" ref="B21">NPV(B1,F7:F18)-C6</f>
        <v>46257.46006</v>
      </c>
    </row>
    <row r="22" ht="15.75" customHeight="1">
      <c r="A22" s="16" t="s">
        <v>26</v>
      </c>
      <c r="B22" s="40">
        <f>IRR(F7:F18)</f>
        <v>0.3847645617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J4:O4"/>
    <mergeCell ref="L5:O5"/>
    <mergeCell ref="L7:O7"/>
    <mergeCell ref="L8:O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2020-06-20T02:42:00Z</dcterms:created>
  <dc:creator>leonardo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1046-11.2.0.9684</vt:lpwstr>
  </property>
</Properties>
</file>